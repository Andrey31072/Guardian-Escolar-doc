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zGrNBiSLI8qTCLWEI9gjdkvsxdArhvNaDSNTxriIdQ="/>
    </ext>
  </extLst>
</workbook>
</file>

<file path=xl/sharedStrings.xml><?xml version="1.0" encoding="utf-8"?>
<sst xmlns="http://schemas.openxmlformats.org/spreadsheetml/2006/main" count="44" uniqueCount="34">
  <si>
    <t>CATEGORIA</t>
  </si>
  <si>
    <t>Nombre</t>
  </si>
  <si>
    <t>Costo Base (COP)</t>
  </si>
  <si>
    <t>Costo Periféricos (COP)</t>
  </si>
  <si>
    <t>Costo Total (COP)</t>
  </si>
  <si>
    <t>HARDWARE</t>
  </si>
  <si>
    <t>Portátil Dell XPS 15</t>
  </si>
  <si>
    <t>Router Empresarial CISVO RV35</t>
  </si>
  <si>
    <t>Licencia SO Windows 11</t>
  </si>
  <si>
    <t>ANÁLISIS DE PROVEDORES DE SOFTWARE</t>
  </si>
  <si>
    <t>Servidores en la Nube - AWS EC2 t3.medium</t>
  </si>
  <si>
    <t>Antivirus Empresarial ESET EndPoint</t>
  </si>
  <si>
    <t>SOFTWARE PARA DESARROLLO</t>
  </si>
  <si>
    <t xml:space="preserve">IDE: Visual Estudio Code </t>
  </si>
  <si>
    <t>BD: pgAdmin</t>
  </si>
  <si>
    <t>Microsoft Teams / Google Workspace</t>
  </si>
  <si>
    <t xml:space="preserve"> </t>
  </si>
  <si>
    <t>DISPOSITIVOS MOVILES (GAMA MEDIA BAJA</t>
  </si>
  <si>
    <t>Xiaomi Redmi Note 12</t>
  </si>
  <si>
    <t>Samsung Galaxy A54</t>
  </si>
  <si>
    <t>SOFTWARE DE NAVEGADOR</t>
  </si>
  <si>
    <t>Google Chrome</t>
  </si>
  <si>
    <t>RECURSOS HUMANOS</t>
  </si>
  <si>
    <t>Desarrolladores Full-Stack (2)</t>
  </si>
  <si>
    <t>Analista de Requerimientos</t>
  </si>
  <si>
    <t>Tester/QA</t>
  </si>
  <si>
    <t>Administrador de Proyecto</t>
  </si>
  <si>
    <t>Diseñador UX/UI</t>
  </si>
  <si>
    <t xml:space="preserve">Total de costo: </t>
  </si>
  <si>
    <t>SELECCIONADOS AL PROYECTO</t>
  </si>
  <si>
    <t>COSTO POR CATEGORIA</t>
  </si>
  <si>
    <t>SOFTWARE PARA DESAROLLO</t>
  </si>
  <si>
    <t>DISPOSITIVOS MOVILES (GAMA MEDIA BAJA)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</si>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</sst>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240A]\ * #,##0_-;\-[$$-240A]\ * #,##0_-;_-[$$-240A]\ * &quot;-&quot;??_-;_-@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/>
    <font>
      <sz val="11.0"/>
      <color rgb="FF000000"/>
      <name val="Trebuchet MS"/>
    </font>
  </fonts>
  <fills count="9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ECF2A0"/>
        <bgColor rgb="FFECF2A0"/>
      </patternFill>
    </fill>
    <fill>
      <patternFill patternType="solid">
        <fgColor rgb="FFF9E2FA"/>
        <bgColor rgb="FFF9E2FA"/>
      </patternFill>
    </fill>
    <fill>
      <patternFill patternType="solid">
        <fgColor rgb="FFF2DBDB"/>
        <bgColor rgb="FFF2DB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vertical="center"/>
    </xf>
    <xf borderId="3" fillId="2" fontId="2" numFmtId="0" xfId="0" applyBorder="1" applyFont="1"/>
    <xf borderId="1" fillId="0" fontId="2" numFmtId="164" xfId="0" applyBorder="1" applyFont="1" applyNumberFormat="1"/>
    <xf borderId="1" fillId="3" fontId="2" numFmtId="0" xfId="0" applyAlignment="1" applyBorder="1" applyFill="1" applyFont="1">
      <alignment horizontal="center" readingOrder="0" vertical="center"/>
    </xf>
    <xf borderId="3" fillId="3" fontId="2" numFmtId="0" xfId="0" applyBorder="1" applyFont="1"/>
    <xf borderId="4" fillId="4" fontId="2" numFmtId="0" xfId="0" applyAlignment="1" applyBorder="1" applyFill="1" applyFont="1">
      <alignment horizontal="center" readingOrder="0" vertical="center"/>
    </xf>
    <xf borderId="2" fillId="4" fontId="2" numFmtId="0" xfId="0" applyBorder="1" applyFont="1"/>
    <xf borderId="1" fillId="0" fontId="2" numFmtId="164" xfId="0" applyAlignment="1" applyBorder="1" applyFont="1" applyNumberFormat="1">
      <alignment horizontal="right"/>
    </xf>
    <xf borderId="5" fillId="4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3" fillId="4" fontId="2" numFmtId="0" xfId="0" applyBorder="1" applyFont="1"/>
    <xf borderId="0" fillId="0" fontId="3" numFmtId="0" xfId="0" applyFont="1"/>
    <xf borderId="4" fillId="5" fontId="2" numFmtId="0" xfId="0" applyAlignment="1" applyBorder="1" applyFill="1" applyFont="1">
      <alignment horizontal="center" vertical="center"/>
    </xf>
    <xf borderId="3" fillId="5" fontId="2" numFmtId="0" xfId="0" applyBorder="1" applyFont="1"/>
    <xf borderId="1" fillId="0" fontId="2" numFmtId="164" xfId="0" applyAlignment="1" applyBorder="1" applyFont="1" applyNumberFormat="1">
      <alignment readingOrder="0"/>
    </xf>
    <xf borderId="5" fillId="0" fontId="4" numFmtId="0" xfId="0" applyBorder="1" applyFont="1"/>
    <xf borderId="1" fillId="6" fontId="2" numFmtId="0" xfId="0" applyAlignment="1" applyBorder="1" applyFill="1" applyFont="1">
      <alignment horizontal="center" vertical="center"/>
    </xf>
    <xf borderId="3" fillId="6" fontId="2" numFmtId="0" xfId="0" applyAlignment="1" applyBorder="1" applyFont="1">
      <alignment readingOrder="0"/>
    </xf>
    <xf borderId="4" fillId="7" fontId="2" numFmtId="0" xfId="0" applyAlignment="1" applyBorder="1" applyFill="1" applyFont="1">
      <alignment horizontal="center" vertical="center"/>
    </xf>
    <xf borderId="3" fillId="7" fontId="2" numFmtId="0" xfId="0" applyBorder="1" applyFont="1"/>
    <xf borderId="6" fillId="0" fontId="4" numFmtId="0" xfId="0" applyBorder="1" applyFont="1"/>
    <xf borderId="4" fillId="0" fontId="2" numFmtId="164" xfId="0" applyBorder="1" applyFont="1" applyNumberFormat="1"/>
    <xf borderId="7" fillId="8" fontId="1" numFmtId="0" xfId="0" applyAlignment="1" applyBorder="1" applyFill="1" applyFont="1">
      <alignment horizontal="center"/>
    </xf>
    <xf borderId="2" fillId="0" fontId="4" numFmtId="0" xfId="0" applyBorder="1" applyFont="1"/>
    <xf borderId="1" fillId="8" fontId="1" numFmtId="164" xfId="0" applyBorder="1" applyFont="1" applyNumberFormat="1"/>
    <xf borderId="0" fillId="0" fontId="5" numFmtId="0" xfId="0" applyFont="1"/>
    <xf borderId="7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center"/>
    </xf>
    <xf borderId="1" fillId="2" fontId="2" numFmtId="164" xfId="0" applyBorder="1" applyFont="1" applyNumberFormat="1"/>
    <xf borderId="1" fillId="3" fontId="2" numFmtId="164" xfId="0" applyBorder="1" applyFont="1" applyNumberFormat="1"/>
    <xf borderId="4" fillId="4" fontId="2" numFmtId="0" xfId="0" applyAlignment="1" applyBorder="1" applyFont="1">
      <alignment horizontal="center" vertical="center"/>
    </xf>
    <xf borderId="4" fillId="4" fontId="2" numFmtId="164" xfId="0" applyAlignment="1" applyBorder="1" applyFont="1" applyNumberFormat="1">
      <alignment horizontal="center"/>
    </xf>
    <xf borderId="4" fillId="5" fontId="2" numFmtId="0" xfId="0" applyAlignment="1" applyBorder="1" applyFont="1">
      <alignment horizontal="center" readingOrder="0" vertical="center"/>
    </xf>
    <xf borderId="4" fillId="5" fontId="2" numFmtId="164" xfId="0" applyAlignment="1" applyBorder="1" applyFont="1" applyNumberFormat="1">
      <alignment horizontal="right" vertical="center"/>
    </xf>
    <xf borderId="1" fillId="6" fontId="2" numFmtId="164" xfId="0" applyAlignment="1" applyBorder="1" applyFont="1" applyNumberFormat="1">
      <alignment horizontal="right"/>
    </xf>
    <xf borderId="1" fillId="7" fontId="2" numFmtId="0" xfId="0" applyAlignment="1" applyBorder="1" applyFont="1">
      <alignment horizontal="center" vertical="center"/>
    </xf>
    <xf borderId="1" fillId="7" fontId="2" numFmtId="164" xfId="0" applyBorder="1" applyFont="1" applyNumberFormat="1"/>
    <xf borderId="1" fillId="8" fontId="1" numFmtId="0" xfId="0" applyBorder="1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40.71"/>
    <col customWidth="1" min="4" max="4" width="46.29"/>
    <col customWidth="1" min="5" max="5" width="29.29"/>
    <col customWidth="1" min="6" max="6" width="22.71"/>
    <col customWidth="1" min="7" max="7" width="28.57"/>
    <col customWidth="1" min="8" max="28" width="8.86"/>
  </cols>
  <sheetData>
    <row r="1" ht="14.25" customHeight="1"/>
    <row r="2" ht="14.25" customHeight="1"/>
    <row r="3" ht="14.25" customHeight="1">
      <c r="C3" s="1" t="s">
        <v>0</v>
      </c>
      <c r="D3" s="2" t="s">
        <v>1</v>
      </c>
      <c r="E3" s="3" t="s">
        <v>2</v>
      </c>
      <c r="F3" s="3" t="s">
        <v>3</v>
      </c>
      <c r="G3" s="3" t="s">
        <v>4</v>
      </c>
    </row>
    <row r="4" ht="14.25" customHeight="1">
      <c r="C4" s="4" t="s">
        <v>5</v>
      </c>
      <c r="D4" s="5" t="s">
        <v>6</v>
      </c>
      <c r="E4" s="6">
        <v>6000000.0</v>
      </c>
      <c r="F4" s="6">
        <v>630000.0</v>
      </c>
      <c r="G4" s="6">
        <v>6630000.0</v>
      </c>
    </row>
    <row r="5" ht="14.25" customHeight="1">
      <c r="C5" s="4" t="s">
        <v>5</v>
      </c>
      <c r="D5" s="5" t="s">
        <v>7</v>
      </c>
      <c r="E5" s="6">
        <v>2500000.0</v>
      </c>
      <c r="F5" s="6">
        <v>0.0</v>
      </c>
      <c r="G5" s="6">
        <v>2500000.0</v>
      </c>
    </row>
    <row r="6" ht="14.25" customHeight="1">
      <c r="C6" s="4" t="s">
        <v>5</v>
      </c>
      <c r="D6" s="5" t="s">
        <v>8</v>
      </c>
      <c r="E6" s="6">
        <v>700000.0</v>
      </c>
      <c r="F6" s="6"/>
      <c r="G6" s="6">
        <v>700000.0</v>
      </c>
    </row>
    <row r="7" ht="14.25" customHeight="1">
      <c r="C7" s="7" t="s">
        <v>9</v>
      </c>
      <c r="D7" s="8" t="s">
        <v>10</v>
      </c>
      <c r="E7" s="6">
        <v>150000.0</v>
      </c>
      <c r="F7" s="6">
        <v>0.0</v>
      </c>
      <c r="G7" s="6">
        <v>150000.0</v>
      </c>
    </row>
    <row r="8" ht="14.25" customHeight="1">
      <c r="C8" s="7" t="s">
        <v>9</v>
      </c>
      <c r="D8" s="8" t="s">
        <v>11</v>
      </c>
      <c r="E8" s="6">
        <v>250000.0</v>
      </c>
      <c r="F8" s="6">
        <v>0.0</v>
      </c>
      <c r="G8" s="6">
        <v>250000.0</v>
      </c>
    </row>
    <row r="9" ht="14.25" customHeight="1">
      <c r="C9" s="9" t="s">
        <v>12</v>
      </c>
      <c r="D9" s="10" t="s">
        <v>13</v>
      </c>
      <c r="E9" s="11">
        <v>0.0</v>
      </c>
      <c r="F9" s="11">
        <v>0.0</v>
      </c>
      <c r="G9" s="11">
        <v>0.0</v>
      </c>
    </row>
    <row r="10" ht="14.25" customHeight="1">
      <c r="C10" s="12" t="s">
        <v>12</v>
      </c>
      <c r="D10" s="10" t="s">
        <v>14</v>
      </c>
      <c r="E10" s="11">
        <v>0.0</v>
      </c>
      <c r="F10" s="11">
        <v>0.0</v>
      </c>
      <c r="G10" s="11">
        <v>0.0</v>
      </c>
    </row>
    <row r="11" ht="14.25" customHeight="1">
      <c r="C11" s="13" t="s">
        <v>12</v>
      </c>
      <c r="D11" s="14" t="s">
        <v>15</v>
      </c>
      <c r="E11" s="6">
        <v>98000.0</v>
      </c>
      <c r="F11" s="6">
        <v>98000.0</v>
      </c>
      <c r="G11" s="6">
        <v>98000.0</v>
      </c>
    </row>
    <row r="12" ht="14.25" customHeight="1">
      <c r="B12" s="15" t="s">
        <v>16</v>
      </c>
      <c r="C12" s="16" t="s">
        <v>17</v>
      </c>
      <c r="D12" s="17" t="s">
        <v>18</v>
      </c>
      <c r="E12" s="6">
        <v>624900.0</v>
      </c>
      <c r="F12" s="6">
        <v>30000.0</v>
      </c>
      <c r="G12" s="18">
        <f t="shared" ref="G12:G13" si="1">E12+F12</f>
        <v>654900</v>
      </c>
    </row>
    <row r="13" ht="14.25" customHeight="1">
      <c r="C13" s="19"/>
      <c r="D13" s="17" t="s">
        <v>19</v>
      </c>
      <c r="E13" s="6">
        <v>999900.0</v>
      </c>
      <c r="F13" s="6">
        <v>30000.0</v>
      </c>
      <c r="G13" s="6">
        <f t="shared" si="1"/>
        <v>1029900</v>
      </c>
    </row>
    <row r="14" ht="14.25" customHeight="1">
      <c r="C14" s="20" t="s">
        <v>20</v>
      </c>
      <c r="D14" s="21" t="s">
        <v>21</v>
      </c>
      <c r="E14" s="11">
        <v>0.0</v>
      </c>
      <c r="F14" s="11">
        <v>0.0</v>
      </c>
      <c r="G14" s="11">
        <v>0.0</v>
      </c>
    </row>
    <row r="15" ht="14.25" customHeight="1">
      <c r="C15" s="22" t="s">
        <v>22</v>
      </c>
      <c r="D15" s="23" t="s">
        <v>23</v>
      </c>
      <c r="E15" s="6">
        <v>5.4E7</v>
      </c>
      <c r="F15" s="6">
        <v>0.0</v>
      </c>
      <c r="G15" s="6">
        <v>5.4E7</v>
      </c>
    </row>
    <row r="16" ht="14.25" customHeight="1">
      <c r="C16" s="24"/>
      <c r="D16" s="23" t="s">
        <v>24</v>
      </c>
      <c r="E16" s="6">
        <v>1.14E7</v>
      </c>
      <c r="F16" s="6">
        <v>0.0</v>
      </c>
      <c r="G16" s="6">
        <v>1.14E7</v>
      </c>
    </row>
    <row r="17" ht="14.25" customHeight="1">
      <c r="C17" s="24"/>
      <c r="D17" s="23" t="s">
        <v>25</v>
      </c>
      <c r="E17" s="6">
        <v>1.4E7</v>
      </c>
      <c r="F17" s="6">
        <v>0.0</v>
      </c>
      <c r="G17" s="6">
        <v>1.4E7</v>
      </c>
    </row>
    <row r="18" ht="14.25" customHeight="1">
      <c r="C18" s="24"/>
      <c r="D18" s="23" t="s">
        <v>26</v>
      </c>
      <c r="E18" s="6">
        <v>3.0E7</v>
      </c>
      <c r="F18" s="6">
        <v>0.0</v>
      </c>
      <c r="G18" s="6">
        <v>3.0E7</v>
      </c>
    </row>
    <row r="19" ht="14.25" customHeight="1">
      <c r="C19" s="19"/>
      <c r="D19" s="23" t="s">
        <v>27</v>
      </c>
      <c r="E19" s="25">
        <v>8000000.0</v>
      </c>
      <c r="F19" s="25">
        <v>0.0</v>
      </c>
      <c r="G19" s="25">
        <v>8000000.0</v>
      </c>
    </row>
    <row r="20" ht="14.25" customHeight="1">
      <c r="E20" s="26" t="s">
        <v>28</v>
      </c>
      <c r="F20" s="27"/>
      <c r="G20" s="28">
        <f>SUM(G4:G19)</f>
        <v>129412800</v>
      </c>
    </row>
    <row r="21" ht="14.25" customHeight="1"/>
    <row r="22" ht="14.25" customHeight="1">
      <c r="C22" s="29"/>
    </row>
    <row r="23" ht="14.25" customHeight="1">
      <c r="C23" s="29"/>
    </row>
    <row r="24" ht="14.25" customHeight="1">
      <c r="C24" s="30" t="s">
        <v>29</v>
      </c>
      <c r="D24" s="27"/>
    </row>
    <row r="25" ht="14.25" customHeight="1">
      <c r="C25" s="31" t="s">
        <v>0</v>
      </c>
      <c r="D25" s="31" t="s">
        <v>30</v>
      </c>
    </row>
    <row r="26" ht="21.0" customHeight="1">
      <c r="C26" s="4" t="s">
        <v>5</v>
      </c>
      <c r="D26" s="32">
        <f>SUM(G4:G6)</f>
        <v>9830000</v>
      </c>
    </row>
    <row r="27" ht="19.5" customHeight="1">
      <c r="C27" s="7" t="s">
        <v>9</v>
      </c>
      <c r="D27" s="33">
        <f>SUM(G7:G8)</f>
        <v>400000</v>
      </c>
    </row>
    <row r="28" ht="19.5" customHeight="1">
      <c r="C28" s="34" t="s">
        <v>31</v>
      </c>
      <c r="D28" s="35">
        <f>SUM(G9:G11)</f>
        <v>98000</v>
      </c>
    </row>
    <row r="29" ht="20.25" customHeight="1">
      <c r="C29" s="19"/>
      <c r="D29" s="19"/>
    </row>
    <row r="30" ht="20.25" customHeight="1">
      <c r="C30" s="36" t="s">
        <v>32</v>
      </c>
      <c r="D30" s="37">
        <f>SUM(G12:G13)</f>
        <v>1684800</v>
      </c>
    </row>
    <row r="31" ht="9.0" customHeight="1">
      <c r="C31" s="19"/>
      <c r="D31" s="19"/>
    </row>
    <row r="32" ht="21.75" customHeight="1">
      <c r="C32" s="20" t="s">
        <v>20</v>
      </c>
      <c r="D32" s="38">
        <v>0.0</v>
      </c>
    </row>
    <row r="33" ht="22.5" customHeight="1">
      <c r="C33" s="39" t="s">
        <v>22</v>
      </c>
      <c r="D33" s="40">
        <f>SUM(G15:G19)</f>
        <v>117400000</v>
      </c>
    </row>
    <row r="34" ht="14.25" customHeight="1">
      <c r="C34" s="41" t="s">
        <v>33</v>
      </c>
      <c r="D34" s="28">
        <f>SUM(D26:D33)</f>
        <v>129412800</v>
      </c>
    </row>
    <row r="35" ht="14.25" customHeight="1">
      <c r="C35" s="42"/>
    </row>
    <row r="36" ht="14.25" customHeight="1">
      <c r="C36" s="42"/>
    </row>
    <row r="37" ht="14.25" customHeight="1">
      <c r="C37" s="42"/>
    </row>
    <row r="38" ht="14.25" customHeight="1">
      <c r="C38" s="42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8">
    <mergeCell ref="C12:C13"/>
    <mergeCell ref="C15:C19"/>
    <mergeCell ref="E20:F20"/>
    <mergeCell ref="C24:D24"/>
    <mergeCell ref="C28:C29"/>
    <mergeCell ref="D28:D29"/>
    <mergeCell ref="C30:C31"/>
    <mergeCell ref="D30:D3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2025-09-12T19:45:30Z</dcterms:created>
</cp:coreProperties>
</file>